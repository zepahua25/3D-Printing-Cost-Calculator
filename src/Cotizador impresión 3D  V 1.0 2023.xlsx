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tizador 3D" sheetId="1" r:id="rId5"/>
    <sheet state="visible" name="Desglose de calculo " sheetId="2" r:id="rId6"/>
    <sheet state="visible" name="Configuracion del cotizador" sheetId="3" r:id="rId7"/>
  </sheets>
  <definedNames/>
  <calcPr/>
</workbook>
</file>

<file path=xl/sharedStrings.xml><?xml version="1.0" encoding="utf-8"?>
<sst xmlns="http://schemas.openxmlformats.org/spreadsheetml/2006/main" count="90" uniqueCount="79">
  <si>
    <t xml:space="preserve">Cotizador de impresiones </t>
  </si>
  <si>
    <t>Marca de filamento</t>
  </si>
  <si>
    <t>Mexico Makers/SUNLU</t>
  </si>
  <si>
    <t xml:space="preserve">*opcional </t>
  </si>
  <si>
    <t>Material:</t>
  </si>
  <si>
    <t>PLA</t>
  </si>
  <si>
    <t>Gramos consumidos:</t>
  </si>
  <si>
    <t xml:space="preserve">Gramos </t>
  </si>
  <si>
    <t>Tiempo de impresion :</t>
  </si>
  <si>
    <t>Horas</t>
  </si>
  <si>
    <t>Post-procesado:</t>
  </si>
  <si>
    <t xml:space="preserve">*Pintura, lijado, acabados, </t>
  </si>
  <si>
    <t>Costo de embalaje:</t>
  </si>
  <si>
    <t>* En caso de ser necesario, caja, bolsa, etc.</t>
  </si>
  <si>
    <t>Costo total de fabricacion:</t>
  </si>
  <si>
    <t>Margen:</t>
  </si>
  <si>
    <t>porcentaje de ganancia</t>
  </si>
  <si>
    <t>Total:</t>
  </si>
  <si>
    <t>Ganancia:</t>
  </si>
  <si>
    <t xml:space="preserve">Desglose de cálculos </t>
  </si>
  <si>
    <t>Costo de filamento por gramo</t>
  </si>
  <si>
    <t>Costo total del material:</t>
  </si>
  <si>
    <t xml:space="preserve">Calculo: Gramos consumidos X Costo de filamento por gramo </t>
  </si>
  <si>
    <t>Costo total por hora :</t>
  </si>
  <si>
    <t xml:space="preserve">Total por horas de impresion </t>
  </si>
  <si>
    <t>Calculo: Tiempro de impresion X Costo total por hora</t>
  </si>
  <si>
    <t>Costo de fabricación:</t>
  </si>
  <si>
    <t>Calculo: Total por horas de impresion + Costo Total material</t>
  </si>
  <si>
    <t>Margen de protección :</t>
  </si>
  <si>
    <t>*margen de proteccion en caso de problemas</t>
  </si>
  <si>
    <t>Costo de fabricacion con margen:</t>
  </si>
  <si>
    <t>Calculo: costo de fabricación / ( 1- margen de protección )</t>
  </si>
  <si>
    <t>Calculo: Costo de fabricacion con margen + Post-procesado + Costo de embalaje</t>
  </si>
  <si>
    <t>Margen de Ganancia:</t>
  </si>
  <si>
    <t>Porcentaje de ganancia</t>
  </si>
  <si>
    <t>Calculo: Costo total de fabricacion / (1 - Margen de ganancia)</t>
  </si>
  <si>
    <t>Configuracion del cotizador</t>
  </si>
  <si>
    <t>Parametros del Filamento</t>
  </si>
  <si>
    <t>Costo del filamento:</t>
  </si>
  <si>
    <t>Gramos de filamento por carrete:</t>
  </si>
  <si>
    <t>*por defecto 1,000gr</t>
  </si>
  <si>
    <t>Calculo: Costo de filamento / Gramos de filamento por carrete</t>
  </si>
  <si>
    <t>Parametros de la impresora</t>
  </si>
  <si>
    <t>Costo de las impresoras:</t>
  </si>
  <si>
    <t>*Valor sumado de las impresoras</t>
  </si>
  <si>
    <t>Costo mensual de mantenimiento :</t>
  </si>
  <si>
    <t>*Costo total de mantenimiento</t>
  </si>
  <si>
    <t xml:space="preserve">Amortización de inversión </t>
  </si>
  <si>
    <t>Meses de retorno de inversion de la maquina :</t>
  </si>
  <si>
    <t>Dias laborales en el mes:</t>
  </si>
  <si>
    <t>Horas minimas de impresion</t>
  </si>
  <si>
    <t>* Tiempo de impresion esperado por dia SUMANDO TODAS LAS IMPRESORAS</t>
  </si>
  <si>
    <t>Total de hrs de amortizacion:</t>
  </si>
  <si>
    <t xml:space="preserve">Calculo: Dias laborales en el mes * Horas minimas de impresion *meses de retorno de inversión </t>
  </si>
  <si>
    <t>Total de horas al mes :</t>
  </si>
  <si>
    <t xml:space="preserve">Calculo: Dias laborales en el mes * Horas minimas de impresion </t>
  </si>
  <si>
    <t xml:space="preserve">Gastos de operación </t>
  </si>
  <si>
    <t>Consumo electrico mensual:</t>
  </si>
  <si>
    <t>*Valor del recibo o cunsumo parcial  electrico</t>
  </si>
  <si>
    <t>Cosumo electrico por hora:</t>
  </si>
  <si>
    <t>Calculo: Cosumo electrico mensual / Total de hrs al mes</t>
  </si>
  <si>
    <t>Internet mensual :</t>
  </si>
  <si>
    <t>Gasto internet por hora:</t>
  </si>
  <si>
    <t>Calculo: Internet mensual / Total de horas al mes</t>
  </si>
  <si>
    <t>Gastos publicitarios Mensuales:</t>
  </si>
  <si>
    <t>Gasto publisitario por hora:</t>
  </si>
  <si>
    <t>Calculo: Publicidad mensual / Total de horas al mes</t>
  </si>
  <si>
    <t>Gastos extras mensuales fijos :</t>
  </si>
  <si>
    <t>*Gastos como renta, agua, empleados etc.</t>
  </si>
  <si>
    <t>Gastos por hora:</t>
  </si>
  <si>
    <t>Calculo: Gastos extras mensuales / Total de horas al mes</t>
  </si>
  <si>
    <t xml:space="preserve">Costes por hora </t>
  </si>
  <si>
    <t>Gastos mensuales totales por hora</t>
  </si>
  <si>
    <t>Calculo: Suma de todos los valores por hora de la seccion de gastos de operación</t>
  </si>
  <si>
    <t>Costo de maquina por hr:</t>
  </si>
  <si>
    <t xml:space="preserve">Calculo: Costo de las impresoras / Total de horas de amortizacion </t>
  </si>
  <si>
    <t>Costo de mantenimiento por hr:</t>
  </si>
  <si>
    <t>Calculo: Costo mensual de mantenimiento / Total de horas al mes</t>
  </si>
  <si>
    <t>Calculo: Gastos mensuales totales por hora + costo de maquina por hr + costo de mantenimiento por hr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</si>
</sst>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  <scheme val="minor"/>
    </font>
    <font>
      <sz val="18.0"/>
      <color rgb="FFFFFFFF"/>
      <name val="Roboto"/>
    </font>
    <font>
      <sz val="13.0"/>
      <color theme="1"/>
      <name val="Roboto"/>
    </font>
    <font>
      <color theme="1"/>
      <name val="Roboto"/>
    </font>
    <font>
      <b/>
      <sz val="15.0"/>
      <color theme="1"/>
      <name val="Roboto"/>
    </font>
    <font>
      <sz val="13.0"/>
      <color theme="1"/>
      <name val="Arial"/>
      <scheme val="minor"/>
    </font>
    <font>
      <b/>
      <sz val="13.0"/>
      <color theme="1"/>
      <name val="Roboto"/>
    </font>
    <font>
      <sz val="10.0"/>
      <color theme="1"/>
      <name val="Roboto"/>
    </font>
    <font>
      <b/>
      <sz val="13.0"/>
      <color theme="0"/>
      <name val="Roboto"/>
    </font>
    <font>
      <sz val="13.0"/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FE2F3"/>
        <bgColor rgb="FFCFE2F3"/>
      </patternFill>
    </fill>
    <fill>
      <patternFill patternType="solid">
        <fgColor theme="9"/>
        <bgColor theme="9"/>
      </patternFill>
    </fill>
    <fill>
      <patternFill patternType="solid">
        <fgColor rgb="FFFFE599"/>
        <bgColor rgb="FFFFE599"/>
      </patternFill>
    </fill>
    <fill>
      <patternFill patternType="solid">
        <fgColor rgb="FF3D85C6"/>
        <bgColor rgb="FF3D85C6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16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3" fontId="2" numFmtId="9" xfId="0" applyAlignment="1" applyFont="1" applyNumberFormat="1">
      <alignment horizontal="center" readingOrder="0" vertical="center"/>
    </xf>
    <xf borderId="0" fillId="0" fontId="4" numFmtId="0" xfId="0" applyAlignment="1" applyFont="1">
      <alignment horizontal="right" readingOrder="0" vertical="center"/>
    </xf>
    <xf borderId="0" fillId="4" fontId="4" numFmtId="164" xfId="0" applyAlignment="1" applyFill="1" applyFont="1" applyNumberFormat="1">
      <alignment horizontal="center" vertical="center"/>
    </xf>
    <xf borderId="0" fillId="0" fontId="3" numFmtId="0" xfId="0" applyFont="1"/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horizontal="right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4" fontId="2" numFmtId="164" xfId="0" applyAlignment="1" applyBorder="1" applyFont="1" applyNumberFormat="1">
      <alignment horizontal="center" readingOrder="0" vertical="center"/>
    </xf>
    <xf borderId="1" fillId="5" fontId="2" numFmtId="9" xfId="0" applyAlignment="1" applyBorder="1" applyFill="1" applyFont="1" applyNumberFormat="1">
      <alignment horizontal="center" readingOrder="0" vertical="center"/>
    </xf>
    <xf borderId="0" fillId="4" fontId="2" numFmtId="164" xfId="0" applyAlignment="1" applyFont="1" applyNumberFormat="1">
      <alignment horizontal="center" readingOrder="0" vertical="center"/>
    </xf>
    <xf borderId="0" fillId="0" fontId="2" numFmtId="9" xfId="0" applyAlignment="1" applyFont="1" applyNumberFormat="1">
      <alignment horizontal="center" readingOrder="0" vertical="center"/>
    </xf>
    <xf borderId="0" fillId="0" fontId="6" numFmtId="0" xfId="0" applyAlignment="1" applyFont="1">
      <alignment horizontal="right" readingOrder="0" vertical="center"/>
    </xf>
    <xf borderId="0" fillId="4" fontId="6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5" fontId="2" numFmtId="164" xfId="0" applyAlignment="1" applyFont="1" applyNumberFormat="1">
      <alignment horizontal="center" readingOrder="0"/>
    </xf>
    <xf borderId="0" fillId="5" fontId="2" numFmtId="0" xfId="0" applyAlignment="1" applyFont="1">
      <alignment horizontal="center" readingOrder="0"/>
    </xf>
    <xf borderId="0" fillId="4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5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horizontal="left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5" fontId="2" numFmtId="164" xfId="0" applyAlignment="1" applyFont="1" applyNumberFormat="1">
      <alignment horizontal="center" readingOrder="0" vertical="center"/>
    </xf>
    <xf borderId="0" fillId="6" fontId="8" numFmtId="0" xfId="0" applyAlignment="1" applyFill="1" applyFont="1">
      <alignment horizontal="center" readingOrder="0" vertical="center"/>
    </xf>
    <xf borderId="0" fillId="3" fontId="9" numFmtId="164" xfId="0" applyAlignment="1" applyFont="1" applyNumberFormat="1">
      <alignment horizontal="center" readingOrder="0" vertical="center"/>
    </xf>
    <xf borderId="0" fillId="3" fontId="9" numFmtId="164" xfId="0" applyAlignment="1" applyFont="1" applyNumberFormat="1">
      <alignment horizontal="center" vertical="center"/>
    </xf>
    <xf borderId="0" fillId="4" fontId="2" numFmtId="164" xfId="0" applyAlignment="1" applyFont="1" applyNumberFormat="1">
      <alignment horizontal="center" vertical="center"/>
    </xf>
    <xf borderId="0" fillId="0" fontId="5" numFmtId="0" xfId="0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7.88"/>
    <col customWidth="1" min="3" max="3" width="21.5"/>
    <col customWidth="1" min="4" max="4" width="35.38"/>
  </cols>
  <sheetData>
    <row r="1" ht="22.5" customHeight="1"/>
    <row r="2" ht="34.5" customHeight="1">
      <c r="B2" s="1" t="s">
        <v>0</v>
      </c>
    </row>
    <row r="3" ht="22.5" customHeight="1">
      <c r="B3" s="2" t="s">
        <v>1</v>
      </c>
      <c r="C3" s="3" t="s">
        <v>2</v>
      </c>
      <c r="D3" s="4" t="s">
        <v>3</v>
      </c>
    </row>
    <row r="4" ht="22.5" customHeight="1">
      <c r="B4" s="2" t="s">
        <v>4</v>
      </c>
      <c r="C4" s="3" t="s">
        <v>5</v>
      </c>
      <c r="D4" s="4" t="s">
        <v>3</v>
      </c>
    </row>
    <row r="5" ht="22.5" customHeight="1">
      <c r="B5" s="2" t="s">
        <v>6</v>
      </c>
      <c r="C5" s="5">
        <v>315.0</v>
      </c>
      <c r="D5" s="4" t="s">
        <v>7</v>
      </c>
    </row>
    <row r="6" ht="22.5" customHeight="1">
      <c r="B6" s="2" t="s">
        <v>8</v>
      </c>
      <c r="C6" s="5">
        <v>13.0</v>
      </c>
      <c r="D6" s="4" t="s">
        <v>9</v>
      </c>
    </row>
    <row r="7" ht="22.5" customHeight="1">
      <c r="B7" s="2" t="s">
        <v>10</v>
      </c>
      <c r="C7" s="6">
        <v>0.0</v>
      </c>
      <c r="D7" s="4" t="s">
        <v>11</v>
      </c>
    </row>
    <row r="8" ht="22.5" customHeight="1">
      <c r="B8" s="2" t="s">
        <v>12</v>
      </c>
      <c r="C8" s="6">
        <v>0.0</v>
      </c>
      <c r="D8" s="4" t="s">
        <v>13</v>
      </c>
    </row>
    <row r="9" ht="22.5" customHeight="1">
      <c r="B9" s="2" t="s">
        <v>14</v>
      </c>
      <c r="C9" s="7">
        <f>'Desglose de calculo '!C21</f>
        <v>418.6111111</v>
      </c>
      <c r="D9" s="8"/>
    </row>
    <row r="10" ht="22.5" customHeight="1">
      <c r="B10" s="2" t="s">
        <v>15</v>
      </c>
      <c r="C10" s="9">
        <v>0.3</v>
      </c>
      <c r="D10" s="4" t="s">
        <v>16</v>
      </c>
    </row>
    <row r="11" ht="29.25" customHeight="1">
      <c r="B11" s="10" t="s">
        <v>17</v>
      </c>
      <c r="C11" s="11">
        <f>'Desglose de calculo '!C24</f>
        <v>598.015873</v>
      </c>
      <c r="D11" s="8"/>
    </row>
    <row r="12" ht="22.5" customHeight="1">
      <c r="B12" s="2" t="s">
        <v>18</v>
      </c>
      <c r="C12" s="7">
        <f>C11-C9</f>
        <v>179.4047619</v>
      </c>
      <c r="D12" s="12"/>
    </row>
    <row r="13" ht="22.5" customHeight="1">
      <c r="B13" s="10"/>
      <c r="C13" s="13"/>
      <c r="D13" s="12"/>
    </row>
    <row r="14" ht="22.5" customHeight="1">
      <c r="B14" s="14"/>
    </row>
    <row r="15" ht="22.5" customHeight="1">
      <c r="B15" s="14"/>
    </row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</sheetData>
  <mergeCells count="1">
    <mergeCell ref="B2:D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5.13"/>
    <col customWidth="1" min="3" max="3" width="21.5"/>
    <col customWidth="1" min="4" max="4" width="35.38"/>
  </cols>
  <sheetData>
    <row r="1" ht="22.5" customHeight="1"/>
    <row r="2" ht="34.5" customHeight="1">
      <c r="B2" s="1" t="s">
        <v>19</v>
      </c>
    </row>
    <row r="3" ht="22.5" customHeight="1">
      <c r="B3" s="2" t="s">
        <v>1</v>
      </c>
      <c r="C3" s="3" t="str">
        <f>'Cotizador 3D'!C3</f>
        <v>Mexico Makers/SUNLU</v>
      </c>
      <c r="D3" s="4"/>
    </row>
    <row r="4" ht="22.5" customHeight="1">
      <c r="B4" s="2" t="s">
        <v>4</v>
      </c>
      <c r="C4" s="3" t="str">
        <f>'Cotizador 3D'!C4</f>
        <v>PLA</v>
      </c>
      <c r="D4" s="4"/>
    </row>
    <row r="5" ht="22.5" customHeight="1">
      <c r="B5" s="2"/>
      <c r="C5" s="3"/>
      <c r="D5" s="4"/>
    </row>
    <row r="6" ht="22.5" customHeight="1">
      <c r="B6" s="2" t="s">
        <v>6</v>
      </c>
      <c r="C6" s="15">
        <f>'Cotizador 3D'!C5</f>
        <v>315</v>
      </c>
      <c r="D6" s="4"/>
    </row>
    <row r="7" ht="22.5" customHeight="1">
      <c r="B7" s="2" t="s">
        <v>20</v>
      </c>
      <c r="C7" s="16">
        <f>'Configuracion del cotizador'!C6</f>
        <v>0.35</v>
      </c>
      <c r="D7" s="4"/>
    </row>
    <row r="8" ht="22.5" customHeight="1">
      <c r="B8" s="2" t="s">
        <v>21</v>
      </c>
      <c r="C8" s="17">
        <f>C7*C6</f>
        <v>110.25</v>
      </c>
      <c r="D8" s="4" t="s">
        <v>22</v>
      </c>
    </row>
    <row r="9" ht="22.5" customHeight="1">
      <c r="B9" s="2"/>
      <c r="C9" s="3"/>
      <c r="D9" s="4"/>
    </row>
    <row r="10" ht="22.5" customHeight="1">
      <c r="B10" s="2" t="s">
        <v>8</v>
      </c>
      <c r="C10" s="15">
        <f>'Cotizador 3D'!C6</f>
        <v>13</v>
      </c>
      <c r="D10" s="4"/>
    </row>
    <row r="11" ht="22.5" customHeight="1">
      <c r="B11" s="2" t="s">
        <v>23</v>
      </c>
      <c r="C11" s="16">
        <f>'Configuracion del cotizador'!C38</f>
        <v>20.5</v>
      </c>
      <c r="D11" s="8"/>
    </row>
    <row r="12" ht="22.5" customHeight="1">
      <c r="B12" s="2" t="s">
        <v>24</v>
      </c>
      <c r="C12" s="17">
        <f>C10*C11</f>
        <v>266.5</v>
      </c>
      <c r="D12" s="4" t="s">
        <v>25</v>
      </c>
    </row>
    <row r="13" ht="22.5" customHeight="1">
      <c r="B13" s="2"/>
      <c r="C13" s="3"/>
      <c r="D13" s="8"/>
    </row>
    <row r="14" ht="22.5" customHeight="1">
      <c r="B14" s="2" t="s">
        <v>26</v>
      </c>
      <c r="C14" s="16">
        <f>C8+C12</f>
        <v>376.75</v>
      </c>
      <c r="D14" s="4" t="s">
        <v>27</v>
      </c>
    </row>
    <row r="15" ht="22.5" customHeight="1">
      <c r="B15" s="2" t="s">
        <v>28</v>
      </c>
      <c r="C15" s="18">
        <v>0.1</v>
      </c>
      <c r="D15" s="4" t="s">
        <v>29</v>
      </c>
    </row>
    <row r="16" ht="22.5" customHeight="1">
      <c r="B16" s="2" t="s">
        <v>30</v>
      </c>
      <c r="C16" s="17">
        <f>C14/(1-C15)</f>
        <v>418.6111111</v>
      </c>
      <c r="D16" s="4" t="s">
        <v>31</v>
      </c>
    </row>
    <row r="17" ht="22.5" customHeight="1">
      <c r="B17" s="2"/>
      <c r="C17" s="3"/>
      <c r="D17" s="4"/>
    </row>
    <row r="18" ht="22.5" customHeight="1">
      <c r="B18" s="2" t="s">
        <v>10</v>
      </c>
      <c r="C18" s="16">
        <f>'Cotizador 3D'!C7</f>
        <v>0</v>
      </c>
      <c r="D18" s="4"/>
    </row>
    <row r="19" ht="22.5" customHeight="1">
      <c r="B19" s="2" t="s">
        <v>12</v>
      </c>
      <c r="C19" s="16">
        <f>'Cotizador 3D'!C8</f>
        <v>0</v>
      </c>
      <c r="D19" s="8"/>
    </row>
    <row r="20" ht="22.5" customHeight="1">
      <c r="B20" s="2"/>
      <c r="C20" s="3"/>
      <c r="D20" s="8"/>
    </row>
    <row r="21" ht="22.5" customHeight="1">
      <c r="B21" s="2" t="s">
        <v>14</v>
      </c>
      <c r="C21" s="19">
        <f>C16+C18+C19</f>
        <v>418.6111111</v>
      </c>
      <c r="D21" s="4" t="s">
        <v>32</v>
      </c>
    </row>
    <row r="22" ht="22.5" customHeight="1">
      <c r="B22" s="2"/>
      <c r="C22" s="3"/>
      <c r="D22" s="4"/>
    </row>
    <row r="23" ht="22.5" customHeight="1">
      <c r="B23" s="2" t="s">
        <v>33</v>
      </c>
      <c r="C23" s="20">
        <f>'Cotizador 3D'!C10</f>
        <v>0.3</v>
      </c>
      <c r="D23" s="4" t="s">
        <v>34</v>
      </c>
    </row>
    <row r="24" ht="22.5" customHeight="1">
      <c r="B24" s="21" t="s">
        <v>17</v>
      </c>
      <c r="C24" s="22">
        <f>C21/(1-C23)</f>
        <v>598.015873</v>
      </c>
      <c r="D24" s="4" t="s">
        <v>35</v>
      </c>
    </row>
    <row r="25" ht="22.5" customHeight="1">
      <c r="B25" s="2"/>
      <c r="C25" s="3"/>
      <c r="D25" s="12"/>
    </row>
    <row r="26" ht="22.5" customHeight="1">
      <c r="B26" s="10"/>
      <c r="C26" s="3" t="str">
        <f>'Cotizador 3D'!C13</f>
        <v/>
      </c>
      <c r="D26" s="12"/>
    </row>
    <row r="27" ht="22.5" customHeight="1">
      <c r="B27" s="14"/>
    </row>
    <row r="28" ht="22.5" customHeight="1">
      <c r="B28" s="14"/>
    </row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</sheetData>
  <mergeCells count="1">
    <mergeCell ref="B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9.63"/>
    <col customWidth="1" min="3" max="3" width="20.38"/>
    <col customWidth="1" min="4" max="4" width="52.25"/>
  </cols>
  <sheetData>
    <row r="1" ht="22.5" customHeight="1"/>
    <row r="2" ht="34.5" customHeight="1">
      <c r="B2" s="1" t="s">
        <v>36</v>
      </c>
    </row>
    <row r="3" ht="22.5" customHeight="1">
      <c r="B3" s="23" t="s">
        <v>37</v>
      </c>
    </row>
    <row r="4" ht="22.5" customHeight="1">
      <c r="B4" s="2" t="s">
        <v>38</v>
      </c>
      <c r="C4" s="24">
        <v>350.0</v>
      </c>
      <c r="D4" s="4"/>
    </row>
    <row r="5" ht="22.5" customHeight="1">
      <c r="B5" s="2" t="s">
        <v>39</v>
      </c>
      <c r="C5" s="25">
        <v>1000.0</v>
      </c>
      <c r="D5" s="4" t="s">
        <v>40</v>
      </c>
    </row>
    <row r="6" ht="22.5" customHeight="1">
      <c r="B6" s="2" t="s">
        <v>20</v>
      </c>
      <c r="C6" s="26">
        <f>C4/C5</f>
        <v>0.35</v>
      </c>
      <c r="D6" s="4" t="s">
        <v>41</v>
      </c>
    </row>
    <row r="7" ht="22.5" customHeight="1">
      <c r="B7" s="2"/>
      <c r="C7" s="27"/>
      <c r="D7" s="4"/>
    </row>
    <row r="8" ht="22.5" customHeight="1">
      <c r="B8" s="23"/>
      <c r="C8" s="23"/>
      <c r="D8" s="23"/>
    </row>
    <row r="9" ht="22.5" customHeight="1">
      <c r="B9" s="23" t="s">
        <v>42</v>
      </c>
    </row>
    <row r="10" ht="22.5" customHeight="1">
      <c r="B10" s="2" t="s">
        <v>43</v>
      </c>
      <c r="C10" s="24">
        <v>12000.0</v>
      </c>
      <c r="D10" s="4" t="s">
        <v>44</v>
      </c>
    </row>
    <row r="11" ht="22.5" customHeight="1">
      <c r="B11" s="2" t="s">
        <v>45</v>
      </c>
      <c r="C11" s="24">
        <v>400.0</v>
      </c>
      <c r="D11" s="4" t="s">
        <v>46</v>
      </c>
    </row>
    <row r="12" ht="22.5" customHeight="1">
      <c r="B12" s="2"/>
      <c r="C12" s="27"/>
    </row>
    <row r="13" ht="22.5" customHeight="1">
      <c r="B13" s="23" t="s">
        <v>47</v>
      </c>
    </row>
    <row r="14" ht="22.5" customHeight="1">
      <c r="B14" s="2" t="s">
        <v>48</v>
      </c>
      <c r="C14" s="28">
        <v>24.0</v>
      </c>
      <c r="D14" s="29"/>
    </row>
    <row r="15" ht="22.5" customHeight="1">
      <c r="B15" s="2" t="s">
        <v>49</v>
      </c>
      <c r="C15" s="28">
        <v>24.0</v>
      </c>
      <c r="D15" s="29"/>
    </row>
    <row r="16" ht="22.5" customHeight="1">
      <c r="B16" s="2" t="s">
        <v>50</v>
      </c>
      <c r="C16" s="28">
        <v>10.0</v>
      </c>
      <c r="D16" s="30" t="s">
        <v>51</v>
      </c>
    </row>
    <row r="17" ht="22.5" customHeight="1">
      <c r="B17" s="2" t="s">
        <v>52</v>
      </c>
      <c r="C17" s="13">
        <f>C16*C15*C14</f>
        <v>5760</v>
      </c>
      <c r="D17" s="30" t="s">
        <v>53</v>
      </c>
    </row>
    <row r="18" ht="22.5" customHeight="1">
      <c r="B18" s="2" t="s">
        <v>54</v>
      </c>
      <c r="C18" s="13">
        <f>C16*C15</f>
        <v>240</v>
      </c>
      <c r="D18" s="30" t="s">
        <v>55</v>
      </c>
    </row>
    <row r="19" ht="22.5" customHeight="1">
      <c r="B19" s="2"/>
      <c r="C19" s="13"/>
      <c r="D19" s="31"/>
    </row>
    <row r="20" ht="22.5" customHeight="1">
      <c r="B20" s="23" t="s">
        <v>56</v>
      </c>
    </row>
    <row r="21" ht="22.5" customHeight="1">
      <c r="B21" s="2" t="s">
        <v>57</v>
      </c>
      <c r="C21" s="28">
        <v>120.0</v>
      </c>
      <c r="D21" s="32" t="s">
        <v>58</v>
      </c>
    </row>
    <row r="22" ht="22.5" customHeight="1">
      <c r="B22" s="2" t="s">
        <v>59</v>
      </c>
      <c r="C22" s="33">
        <f>C21/C18</f>
        <v>0.5</v>
      </c>
      <c r="D22" s="32" t="s">
        <v>60</v>
      </c>
    </row>
    <row r="23" ht="22.5" customHeight="1">
      <c r="B23" s="2"/>
      <c r="C23" s="3"/>
      <c r="D23" s="32"/>
    </row>
    <row r="24" ht="22.5" customHeight="1">
      <c r="B24" s="2" t="s">
        <v>61</v>
      </c>
      <c r="C24" s="34">
        <v>200.0</v>
      </c>
      <c r="D24" s="32"/>
    </row>
    <row r="25" ht="22.5" customHeight="1">
      <c r="B25" s="2" t="s">
        <v>62</v>
      </c>
      <c r="C25" s="33">
        <f>C24/C18</f>
        <v>0.8333333333</v>
      </c>
      <c r="D25" s="32" t="s">
        <v>63</v>
      </c>
    </row>
    <row r="26" ht="22.5" customHeight="1">
      <c r="B26" s="2"/>
      <c r="C26" s="3"/>
      <c r="D26" s="32"/>
    </row>
    <row r="27" ht="22.5" customHeight="1">
      <c r="B27" s="2" t="s">
        <v>64</v>
      </c>
      <c r="C27" s="34">
        <v>200.0</v>
      </c>
      <c r="D27" s="32"/>
    </row>
    <row r="28" ht="22.5" customHeight="1">
      <c r="B28" s="2" t="s">
        <v>65</v>
      </c>
      <c r="C28" s="33">
        <f>C27/C18</f>
        <v>0.8333333333</v>
      </c>
      <c r="D28" s="32" t="s">
        <v>66</v>
      </c>
    </row>
    <row r="29" ht="22.5" customHeight="1">
      <c r="B29" s="2"/>
      <c r="C29" s="3"/>
      <c r="D29" s="2"/>
    </row>
    <row r="30" ht="22.5" customHeight="1">
      <c r="B30" s="2" t="s">
        <v>67</v>
      </c>
      <c r="C30" s="34">
        <v>3500.0</v>
      </c>
      <c r="D30" s="32" t="s">
        <v>68</v>
      </c>
    </row>
    <row r="31" ht="22.5" customHeight="1">
      <c r="B31" s="2" t="s">
        <v>69</v>
      </c>
      <c r="C31" s="33">
        <f>C30/C18</f>
        <v>14.58333333</v>
      </c>
      <c r="D31" s="32" t="s">
        <v>70</v>
      </c>
    </row>
    <row r="32" ht="22.5" customHeight="1">
      <c r="B32" s="2"/>
      <c r="C32" s="2"/>
      <c r="D32" s="32"/>
    </row>
    <row r="33" ht="22.5" customHeight="1">
      <c r="B33" s="35" t="s">
        <v>71</v>
      </c>
    </row>
    <row r="34" ht="22.5" customHeight="1">
      <c r="B34" s="2"/>
      <c r="C34" s="13"/>
      <c r="D34" s="31"/>
    </row>
    <row r="35" ht="22.5" customHeight="1">
      <c r="B35" s="2" t="s">
        <v>72</v>
      </c>
      <c r="C35" s="36">
        <f>C22+C25+C28+C31</f>
        <v>16.75</v>
      </c>
      <c r="D35" s="32" t="s">
        <v>73</v>
      </c>
    </row>
    <row r="36" ht="22.5" customHeight="1">
      <c r="B36" s="2" t="s">
        <v>74</v>
      </c>
      <c r="C36" s="37">
        <f t="shared" ref="C36:C37" si="1">C10/C17</f>
        <v>2.083333333</v>
      </c>
      <c r="D36" s="30" t="s">
        <v>75</v>
      </c>
    </row>
    <row r="37" ht="22.5" customHeight="1">
      <c r="B37" s="2" t="s">
        <v>76</v>
      </c>
      <c r="C37" s="37">
        <f t="shared" si="1"/>
        <v>1.666666667</v>
      </c>
      <c r="D37" s="30" t="s">
        <v>77</v>
      </c>
    </row>
    <row r="38" ht="22.5" customHeight="1">
      <c r="B38" s="2" t="s">
        <v>23</v>
      </c>
      <c r="C38" s="38">
        <f>C35+C36+C37</f>
        <v>20.5</v>
      </c>
      <c r="D38" s="30" t="s">
        <v>78</v>
      </c>
    </row>
    <row r="39" ht="22.5" customHeight="1">
      <c r="B39" s="13"/>
      <c r="C39" s="13"/>
      <c r="D39" s="31"/>
    </row>
    <row r="40" ht="22.5" customHeight="1">
      <c r="B40" s="39"/>
      <c r="C40" s="40"/>
    </row>
    <row r="41" ht="22.5" customHeight="1">
      <c r="B41" s="39"/>
      <c r="C41" s="40"/>
    </row>
    <row r="42">
      <c r="C42" s="40"/>
    </row>
    <row r="43">
      <c r="C43" s="40"/>
    </row>
    <row r="44">
      <c r="C44" s="40"/>
    </row>
    <row r="45">
      <c r="C45" s="39"/>
    </row>
    <row r="46">
      <c r="C46" s="39"/>
    </row>
    <row r="47">
      <c r="C47" s="39"/>
    </row>
    <row r="48">
      <c r="C48" s="39"/>
    </row>
    <row r="49">
      <c r="C49" s="39"/>
    </row>
    <row r="50">
      <c r="C50" s="39"/>
    </row>
  </sheetData>
  <mergeCells count="9">
    <mergeCell ref="B20:D20"/>
    <mergeCell ref="B33:D33"/>
    <mergeCell ref="B2:D2"/>
    <mergeCell ref="B3:D3"/>
    <mergeCell ref="B9:D9"/>
    <mergeCell ref="B13:D13"/>
    <mergeCell ref="D16:H16"/>
    <mergeCell ref="D17:G17"/>
    <mergeCell ref="D18:G18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